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CE 321\Project #3\Submission\"/>
    </mc:Choice>
  </mc:AlternateContent>
  <xr:revisionPtr revIDLastSave="0" documentId="8_{5E58D58E-3B97-41A4-A472-DEF5D5943C1C}" xr6:coauthVersionLast="47" xr6:coauthVersionMax="47" xr10:uidLastSave="{00000000-0000-0000-0000-000000000000}"/>
  <bookViews>
    <workbookView xWindow="-120" yWindow="-120" windowWidth="25440" windowHeight="15270" xr2:uid="{89CBAAA1-F27F-4FE8-8C4A-B9A421B08F13}"/>
  </bookViews>
  <sheets>
    <sheet name="Modified Six Panel Truss" sheetId="1" r:id="rId1"/>
    <sheet name="Eight Panel Howe-Scissor Truss" sheetId="8" r:id="rId2"/>
    <sheet name="Method of Joints Results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N15" i="1"/>
  <c r="Q5" i="1"/>
  <c r="M12" i="1"/>
  <c r="M3" i="1"/>
  <c r="M4" i="1"/>
  <c r="M5" i="1"/>
  <c r="M6" i="1"/>
  <c r="M7" i="1"/>
  <c r="M8" i="1"/>
  <c r="M9" i="1"/>
  <c r="M10" i="1"/>
  <c r="M11" i="1"/>
  <c r="M2" i="1"/>
  <c r="N3" i="1"/>
  <c r="N4" i="1"/>
  <c r="N5" i="1"/>
  <c r="N6" i="1"/>
  <c r="N7" i="1"/>
  <c r="Q7" i="1" s="1"/>
  <c r="N8" i="1"/>
  <c r="Q8" i="1" s="1"/>
  <c r="N2" i="1"/>
  <c r="Q3" i="1"/>
  <c r="Q4" i="1"/>
  <c r="Q6" i="1"/>
  <c r="M15" i="1"/>
  <c r="N11" i="1"/>
  <c r="N12" i="1"/>
  <c r="L9" i="8"/>
  <c r="L10" i="8"/>
  <c r="L11" i="8"/>
  <c r="L12" i="8"/>
  <c r="L4" i="8"/>
  <c r="K12" i="8"/>
  <c r="K11" i="8"/>
  <c r="K10" i="8"/>
  <c r="K9" i="8"/>
  <c r="K8" i="8"/>
  <c r="L8" i="8" s="1"/>
  <c r="O8" i="8" s="1"/>
  <c r="K7" i="8"/>
  <c r="L7" i="8" s="1"/>
  <c r="K6" i="8"/>
  <c r="L6" i="8" s="1"/>
  <c r="K5" i="8"/>
  <c r="L5" i="8" s="1"/>
  <c r="K4" i="8"/>
  <c r="G8" i="8"/>
  <c r="E6" i="8"/>
  <c r="I6" i="8" s="1"/>
  <c r="J6" i="8" s="1"/>
  <c r="E7" i="8"/>
  <c r="I7" i="8" s="1"/>
  <c r="J7" i="8" s="1"/>
  <c r="E8" i="8"/>
  <c r="I8" i="8" s="1"/>
  <c r="J8" i="8" s="1"/>
  <c r="N8" i="8" s="1"/>
  <c r="E9" i="8"/>
  <c r="I9" i="8" s="1"/>
  <c r="J9" i="8" s="1"/>
  <c r="N9" i="8" s="1"/>
  <c r="D4" i="8"/>
  <c r="E4" i="8" s="1"/>
  <c r="I4" i="8" s="1"/>
  <c r="J4" i="8" s="1"/>
  <c r="N4" i="8" s="1"/>
  <c r="G5" i="8"/>
  <c r="G6" i="8"/>
  <c r="G7" i="8"/>
  <c r="G9" i="8"/>
  <c r="G10" i="8"/>
  <c r="G11" i="8"/>
  <c r="G12" i="8"/>
  <c r="G4" i="8"/>
  <c r="D8" i="8"/>
  <c r="D6" i="8"/>
  <c r="D10" i="8" s="1"/>
  <c r="E10" i="8" s="1"/>
  <c r="I10" i="8" s="1"/>
  <c r="J10" i="8" s="1"/>
  <c r="N10" i="8" s="1"/>
  <c r="D7" i="8"/>
  <c r="D9" i="8" s="1"/>
  <c r="D5" i="8"/>
  <c r="D11" i="8" s="1"/>
  <c r="E11" i="8" s="1"/>
  <c r="I11" i="8" s="1"/>
  <c r="J11" i="8" s="1"/>
  <c r="D12" i="8"/>
  <c r="E12" i="8" s="1"/>
  <c r="I12" i="8" s="1"/>
  <c r="J12" i="8" s="1"/>
  <c r="N12" i="8" l="1"/>
  <c r="O12" i="8"/>
  <c r="N6" i="8"/>
  <c r="O6" i="8"/>
  <c r="O11" i="8"/>
  <c r="N11" i="8"/>
  <c r="O7" i="8"/>
  <c r="N7" i="8"/>
  <c r="O9" i="8"/>
  <c r="E5" i="8"/>
  <c r="I5" i="8" s="1"/>
  <c r="J5" i="8" s="1"/>
  <c r="O4" i="8"/>
  <c r="O10" i="8"/>
  <c r="N5" i="8" l="1"/>
  <c r="O5" i="8"/>
</calcChain>
</file>

<file path=xl/sharedStrings.xml><?xml version="1.0" encoding="utf-8"?>
<sst xmlns="http://schemas.openxmlformats.org/spreadsheetml/2006/main" count="148" uniqueCount="129">
  <si>
    <t>N0</t>
  </si>
  <si>
    <t>N8</t>
  </si>
  <si>
    <t>N5</t>
  </si>
  <si>
    <t>N2</t>
  </si>
  <si>
    <t>N7</t>
  </si>
  <si>
    <t>N9</t>
  </si>
  <si>
    <t>N1</t>
  </si>
  <si>
    <t>Dead Load/SF (P/SF)</t>
  </si>
  <si>
    <t>Tributary Area (SF)</t>
  </si>
  <si>
    <t>Weight of Purlins</t>
  </si>
  <si>
    <t>Purlin Weight per LF</t>
  </si>
  <si>
    <t>Weight of Shingles +Plyboard</t>
  </si>
  <si>
    <t>Snow Weight</t>
  </si>
  <si>
    <t>Dead</t>
  </si>
  <si>
    <t>Dead + live + snow</t>
  </si>
  <si>
    <t>1.2D+1.6L+.5S</t>
  </si>
  <si>
    <t>Width (Ft)</t>
  </si>
  <si>
    <t>LRFD DL</t>
  </si>
  <si>
    <t>Total DL Weight</t>
  </si>
  <si>
    <t>Construction/LL Weight</t>
  </si>
  <si>
    <t>LRFD LL</t>
  </si>
  <si>
    <t>Plyboard</t>
  </si>
  <si>
    <t>Shingles</t>
  </si>
  <si>
    <t>Purlin</t>
  </si>
  <si>
    <t>10/LF</t>
  </si>
  <si>
    <t xml:space="preserve">Const. </t>
  </si>
  <si>
    <t>650/Node</t>
  </si>
  <si>
    <t>Snow</t>
  </si>
  <si>
    <t>Snow Tributary Area (SF)</t>
  </si>
  <si>
    <t>Node</t>
  </si>
  <si>
    <t>`</t>
  </si>
  <si>
    <t>Beam Measurements</t>
  </si>
  <si>
    <t>Beam Index</t>
  </si>
  <si>
    <t>Start Node</t>
  </si>
  <si>
    <t>End Node</t>
  </si>
  <si>
    <t>Length (ft)</t>
  </si>
  <si>
    <t>Width(Ft)</t>
  </si>
  <si>
    <t>Length (Ft</t>
  </si>
  <si>
    <t>Tributary Area (SQFT)</t>
  </si>
  <si>
    <t>Shingles/Plyboard/SF</t>
  </si>
  <si>
    <t>*Note, only value are indicated. No excel formulas included. See Project 1 Spreadsheet for Formulas</t>
  </si>
  <si>
    <t xml:space="preserve">Length (Ft) </t>
  </si>
  <si>
    <t>0 -32412.22</t>
  </si>
  <si>
    <t>1 -48618.34</t>
  </si>
  <si>
    <t>2 -48618.34</t>
  </si>
  <si>
    <t>3 -56721.39</t>
  </si>
  <si>
    <t>4 -0.0</t>
  </si>
  <si>
    <t>5 -3116.56</t>
  </si>
  <si>
    <t>6 -8103.06</t>
  </si>
  <si>
    <t>7 -8103.06</t>
  </si>
  <si>
    <t>8 -3116.56</t>
  </si>
  <si>
    <t>9 -0.0</t>
  </si>
  <si>
    <t>10 -7479.74</t>
  </si>
  <si>
    <t>11 9736.44</t>
  </si>
  <si>
    <t>12 0.0</t>
  </si>
  <si>
    <t>13 -56721.39</t>
  </si>
  <si>
    <t>14 -48618.34</t>
  </si>
  <si>
    <t>15 -48618.34</t>
  </si>
  <si>
    <t>16 -32412.22</t>
  </si>
  <si>
    <t>17 21815.92</t>
  </si>
  <si>
    <t>18 9736.44</t>
  </si>
  <si>
    <t>19 -7479.74</t>
  </si>
  <si>
    <t>20 -0.0</t>
  </si>
  <si>
    <t>21 53482.39</t>
  </si>
  <si>
    <t>22 53482.39</t>
  </si>
  <si>
    <t>23 38201.7</t>
  </si>
  <si>
    <t>24 38201.7</t>
  </si>
  <si>
    <t>25 38201.7</t>
  </si>
  <si>
    <t>26 38201.7</t>
  </si>
  <si>
    <t>27 53482.39</t>
  </si>
  <si>
    <t>28 53482.39</t>
  </si>
  <si>
    <t>Scissor Truss Eight panel</t>
  </si>
  <si>
    <t>0 -27492.03</t>
  </si>
  <si>
    <t>1 -21534.53</t>
  </si>
  <si>
    <t>2 -21534.53</t>
  </si>
  <si>
    <t>3 25377.26</t>
  </si>
  <si>
    <t>4 25377.26</t>
  </si>
  <si>
    <t>5 14328.89</t>
  </si>
  <si>
    <t>6 14328.89</t>
  </si>
  <si>
    <t>7 25377.26</t>
  </si>
  <si>
    <t>8 25377.26</t>
  </si>
  <si>
    <t>9 -21534.53</t>
  </si>
  <si>
    <t>10 -21534.53</t>
  </si>
  <si>
    <t>11 -27492.03</t>
  </si>
  <si>
    <t>13 -4503.52</t>
  </si>
  <si>
    <t>14 -4503.52</t>
  </si>
  <si>
    <t>15 -5957.5</t>
  </si>
  <si>
    <t>16 8772.87</t>
  </si>
  <si>
    <t>17 -5957.5</t>
  </si>
  <si>
    <t>18 8772.87</t>
  </si>
  <si>
    <t>19 0.0</t>
  </si>
  <si>
    <t>20 0.0</t>
  </si>
  <si>
    <t>Gabled Howe Eight Panel</t>
  </si>
  <si>
    <t>Modified Six Panel Truss</t>
  </si>
  <si>
    <t>0 -28672.7</t>
  </si>
  <si>
    <t>1 -24621.17</t>
  </si>
  <si>
    <t>2 -20569.64</t>
  </si>
  <si>
    <t>3 -16518.11</t>
  </si>
  <si>
    <t>4 26467.1</t>
  </si>
  <si>
    <t>5 26467.1</t>
  </si>
  <si>
    <t>6 22727.23</t>
  </si>
  <si>
    <t>7 18987.36</t>
  </si>
  <si>
    <t>8 18987.36</t>
  </si>
  <si>
    <t>9 22727.23</t>
  </si>
  <si>
    <t>10 26467.1</t>
  </si>
  <si>
    <t>11 26467.1</t>
  </si>
  <si>
    <t>12 -16518.11</t>
  </si>
  <si>
    <t>13 -20569.64</t>
  </si>
  <si>
    <t>14 -24621.17</t>
  </si>
  <si>
    <t>15 -28672.7</t>
  </si>
  <si>
    <t>16 9349.68</t>
  </si>
  <si>
    <t>17 3116.56</t>
  </si>
  <si>
    <t>18 -4868.22</t>
  </si>
  <si>
    <t>19 -5986.72</t>
  </si>
  <si>
    <t>20 3116.56</t>
  </si>
  <si>
    <t>21 1558.28</t>
  </si>
  <si>
    <t>22 1558.28</t>
  </si>
  <si>
    <t>23 -5986.72</t>
  </si>
  <si>
    <t>24 -4868.22</t>
  </si>
  <si>
    <t>25 -0.0</t>
  </si>
  <si>
    <t>26 -0.0</t>
  </si>
  <si>
    <t>27 -4051.53</t>
  </si>
  <si>
    <t>28 -4051.53</t>
  </si>
  <si>
    <t>Wind X</t>
  </si>
  <si>
    <t>Wind Y</t>
  </si>
  <si>
    <t>Wind</t>
  </si>
  <si>
    <t>N2W</t>
  </si>
  <si>
    <t>N2L</t>
  </si>
  <si>
    <t>Total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</si>
</sst>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7" xfId="0" applyBorder="1"/>
    <xf numFmtId="0" fontId="0" fillId="0" borderId="9" xfId="0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11" xfId="0" applyFont="1" applyFill="1" applyBorder="1"/>
    <xf numFmtId="0" fontId="0" fillId="3" borderId="12" xfId="0" applyFill="1" applyBorder="1"/>
    <xf numFmtId="0" fontId="0" fillId="3" borderId="13" xfId="0" applyFill="1" applyBorder="1"/>
    <xf numFmtId="0" fontId="0" fillId="5" borderId="8" xfId="0" applyFill="1" applyBorder="1"/>
    <xf numFmtId="0" fontId="0" fillId="5" borderId="10" xfId="0" applyFill="1" applyBorder="1"/>
    <xf numFmtId="0" fontId="2" fillId="2" borderId="14" xfId="0" applyFont="1" applyFill="1" applyBorder="1"/>
    <xf numFmtId="0" fontId="0" fillId="7" borderId="15" xfId="0" applyFill="1" applyBorder="1"/>
    <xf numFmtId="0" fontId="2" fillId="2" borderId="16" xfId="0" applyFont="1" applyFill="1" applyBorder="1"/>
    <xf numFmtId="0" fontId="0" fillId="7" borderId="17" xfId="0" applyFill="1" applyBorder="1"/>
    <xf numFmtId="0" fontId="2" fillId="2" borderId="18" xfId="0" applyFont="1" applyFill="1" applyBorder="1"/>
    <xf numFmtId="0" fontId="0" fillId="7" borderId="19" xfId="0" applyFill="1" applyBorder="1"/>
    <xf numFmtId="0" fontId="0" fillId="4" borderId="0" xfId="0" applyFill="1"/>
    <xf numFmtId="0" fontId="0" fillId="6" borderId="0" xfId="0" applyFill="1"/>
    <xf numFmtId="0" fontId="1" fillId="0" borderId="0" xfId="0" applyFont="1"/>
    <xf numFmtId="0" fontId="0" fillId="8" borderId="0" xfId="0" applyFill="1"/>
    <xf numFmtId="0" fontId="0" fillId="8" borderId="1" xfId="0" applyFill="1" applyBorder="1"/>
    <xf numFmtId="0" fontId="6" fillId="0" borderId="20" xfId="0" applyFont="1" applyBorder="1" applyAlignment="1">
      <alignment horizontal="left" vertical="center" wrapText="1" indent="1" readingOrder="1"/>
    </xf>
    <xf numFmtId="0" fontId="6" fillId="0" borderId="20" xfId="0" applyFont="1" applyBorder="1" applyAlignment="1">
      <alignment vertical="center" wrapText="1" readingOrder="1"/>
    </xf>
    <xf numFmtId="0" fontId="5" fillId="0" borderId="20" xfId="0" applyFont="1" applyBorder="1" applyAlignment="1">
      <alignment horizontal="left" vertical="center" wrapText="1" indent="1" readingOrder="1"/>
    </xf>
    <xf numFmtId="0" fontId="5" fillId="0" borderId="20" xfId="0" applyFont="1" applyBorder="1" applyAlignment="1">
      <alignment vertical="center" wrapText="1" readingOrder="1"/>
    </xf>
    <xf numFmtId="0" fontId="6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0" fontId="2" fillId="2" borderId="22" xfId="0" applyFont="1" applyFill="1" applyBorder="1"/>
    <xf numFmtId="0" fontId="2" fillId="2" borderId="23" xfId="0" applyFont="1" applyFill="1" applyBorder="1"/>
    <xf numFmtId="0" fontId="2" fillId="2" borderId="24" xfId="0" applyFont="1" applyFill="1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9" borderId="26" xfId="0" applyFill="1" applyBorder="1"/>
    <xf numFmtId="0" fontId="0" fillId="9" borderId="29" xfId="0" applyFill="1" applyBorder="1"/>
    <xf numFmtId="0" fontId="4" fillId="0" borderId="0" xfId="0" applyFont="1" applyAlignment="1">
      <alignment horizontal="center"/>
    </xf>
    <xf numFmtId="0" fontId="0" fillId="6" borderId="28" xfId="0" applyFill="1" applyBorder="1"/>
    <xf numFmtId="0" fontId="0" fillId="5" borderId="0" xfId="0" applyFill="1"/>
    <xf numFmtId="0" fontId="0" fillId="4" borderId="28" xfId="0" applyFill="1" applyBorder="1"/>
    <xf numFmtId="0" fontId="0" fillId="8" borderId="28" xfId="0" applyFill="1" applyBorder="1"/>
    <xf numFmtId="0" fontId="0" fillId="3" borderId="0" xfId="0" applyFill="1"/>
    <xf numFmtId="0" fontId="0" fillId="3" borderId="28" xfId="0" applyFill="1" applyBorder="1"/>
    <xf numFmtId="0" fontId="0" fillId="10" borderId="0" xfId="0" applyFill="1"/>
    <xf numFmtId="0" fontId="0" fillId="10" borderId="0" xfId="0" applyFill="1" applyBorder="1"/>
    <xf numFmtId="0" fontId="7" fillId="2" borderId="0" xfId="0" applyFont="1" applyFill="1"/>
    <xf numFmtId="0" fontId="4" fillId="2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838200</xdr:colOff>
      <xdr:row>11</xdr:row>
      <xdr:rowOff>171450</xdr:rowOff>
    </xdr:from>
    <xdr:to>
      <xdr:col>9</xdr:col>
      <xdr:colOff>733425</xdr:colOff>
      <xdr:row>19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D7C090-91CF-805E-FDE1-F91FD6F09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2190750"/>
          <a:ext cx="6848475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923925</xdr:colOff>
      <xdr:row>14</xdr:row>
      <xdr:rowOff>19050</xdr:rowOff>
    </xdr:from>
    <xdr:to>
      <xdr:col>10</xdr:col>
      <xdr:colOff>495300</xdr:colOff>
      <xdr:row>21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BCFAF4-2BF5-CFC7-0925-B11A12599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2581275"/>
          <a:ext cx="6848475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733425</xdr:colOff>
      <xdr:row>23</xdr:row>
      <xdr:rowOff>114300</xdr:rowOff>
    </xdr:from>
    <xdr:to>
      <xdr:col>10</xdr:col>
      <xdr:colOff>304800</xdr:colOff>
      <xdr:row>30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79032A-09CE-ADEA-795C-95DBD810E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4352925"/>
          <a:ext cx="6848475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FE499-8A8B-4A77-93BA-091DF3EAE4F4}">
  <dimension ref="B1:Q29"/>
  <sheetViews>
    <sheetView tabSelected="1" topLeftCell="E1" workbookViewId="0">
      <selection activeCell="L21" sqref="L21"/>
    </sheetView>
  </sheetViews>
  <sheetFormatPr defaultRowHeight="14.25"/>
  <cols>
    <col min="2" max="2" width="15.375" bestFit="1" customWidth="1"/>
    <col min="3" max="3" width="12.625" bestFit="1" customWidth="1"/>
    <col min="4" max="4" width="14.875" bestFit="1" customWidth="1"/>
    <col min="5" max="5" width="16.875" bestFit="1" customWidth="1"/>
    <col min="6" max="6" width="14.875" customWidth="1"/>
    <col min="7" max="7" width="12" bestFit="1" customWidth="1"/>
    <col min="8" max="8" width="17.375" bestFit="1" customWidth="1"/>
    <col min="9" max="9" width="15.125" customWidth="1"/>
    <col min="10" max="10" width="16.875" bestFit="1" customWidth="1"/>
    <col min="11" max="14" width="16.875" customWidth="1"/>
    <col min="16" max="16" width="17.375" bestFit="1" customWidth="1"/>
  </cols>
  <sheetData>
    <row r="1" spans="2:17">
      <c r="B1" s="6" t="s">
        <v>29</v>
      </c>
      <c r="C1" s="7" t="s">
        <v>41</v>
      </c>
      <c r="D1" s="7" t="s">
        <v>16</v>
      </c>
      <c r="E1" s="7" t="s">
        <v>10</v>
      </c>
      <c r="F1" s="7" t="s">
        <v>9</v>
      </c>
      <c r="G1" s="7" t="s">
        <v>7</v>
      </c>
      <c r="H1" s="7" t="s">
        <v>8</v>
      </c>
      <c r="I1" s="7" t="s">
        <v>11</v>
      </c>
      <c r="J1" s="9" t="s">
        <v>18</v>
      </c>
      <c r="K1" s="7" t="s">
        <v>28</v>
      </c>
      <c r="L1" s="7" t="s">
        <v>125</v>
      </c>
      <c r="M1" s="7" t="s">
        <v>123</v>
      </c>
      <c r="N1" s="7" t="s">
        <v>124</v>
      </c>
      <c r="O1" s="7" t="s">
        <v>12</v>
      </c>
      <c r="P1" s="8" t="s">
        <v>19</v>
      </c>
      <c r="Q1" s="7" t="s">
        <v>128</v>
      </c>
    </row>
    <row r="2" spans="2:17">
      <c r="B2" s="4" t="s">
        <v>0</v>
      </c>
      <c r="C2">
        <v>20</v>
      </c>
      <c r="D2">
        <v>4.29</v>
      </c>
      <c r="E2">
        <v>10</v>
      </c>
      <c r="F2">
        <v>200</v>
      </c>
      <c r="G2">
        <v>5.0999999999999996</v>
      </c>
      <c r="H2">
        <v>85.8</v>
      </c>
      <c r="I2">
        <v>437.57999999999993</v>
      </c>
      <c r="J2" s="10">
        <v>637.57999999999993</v>
      </c>
      <c r="K2" s="23">
        <v>88.316666666666663</v>
      </c>
      <c r="L2" s="46">
        <v>-1213</v>
      </c>
      <c r="M2" s="46">
        <f>L2*0.385</f>
        <v>-467.005</v>
      </c>
      <c r="N2" s="46">
        <f>-0.92*L2</f>
        <v>1115.96</v>
      </c>
      <c r="O2" s="20">
        <v>2340.3916666666664</v>
      </c>
      <c r="P2" s="12">
        <v>650</v>
      </c>
      <c r="Q2" s="21">
        <f>-1.2*J2-650+N2-0.5*O2</f>
        <v>-1469.3318333333332</v>
      </c>
    </row>
    <row r="3" spans="2:17">
      <c r="B3" s="4" t="s">
        <v>1</v>
      </c>
      <c r="C3">
        <v>20</v>
      </c>
      <c r="D3">
        <v>8.58</v>
      </c>
      <c r="E3">
        <v>10</v>
      </c>
      <c r="F3">
        <v>200</v>
      </c>
      <c r="G3">
        <v>5.0999999999999996</v>
      </c>
      <c r="H3">
        <v>171.6</v>
      </c>
      <c r="I3">
        <v>875.15999999999985</v>
      </c>
      <c r="J3" s="10">
        <v>1075.1599999999999</v>
      </c>
      <c r="K3" s="23">
        <v>170</v>
      </c>
      <c r="L3" s="46">
        <v>-2426</v>
      </c>
      <c r="M3" s="46">
        <f t="shared" ref="M3:M11" si="0">L3*0.385</f>
        <v>-934.01</v>
      </c>
      <c r="N3" s="46">
        <f t="shared" ref="N3:N8" si="1">-0.92*L3</f>
        <v>2231.92</v>
      </c>
      <c r="O3" s="20">
        <v>4505</v>
      </c>
      <c r="P3" s="12">
        <v>650</v>
      </c>
      <c r="Q3" s="21">
        <f t="shared" ref="Q3:Q8" si="2">-1.2*J3-650+N3-0.5*O3</f>
        <v>-1960.7719999999997</v>
      </c>
    </row>
    <row r="4" spans="2:17">
      <c r="B4" s="4" t="s">
        <v>2</v>
      </c>
      <c r="C4">
        <v>20</v>
      </c>
      <c r="D4">
        <v>8.831666666666667</v>
      </c>
      <c r="E4">
        <v>10</v>
      </c>
      <c r="F4">
        <v>200</v>
      </c>
      <c r="G4">
        <v>5.0999999999999996</v>
      </c>
      <c r="H4">
        <v>176.63333333333333</v>
      </c>
      <c r="I4">
        <v>900.82999999999993</v>
      </c>
      <c r="J4" s="10">
        <v>1100.83</v>
      </c>
      <c r="K4" s="23">
        <v>161.70000000000002</v>
      </c>
      <c r="L4" s="46">
        <v>-2450</v>
      </c>
      <c r="M4" s="46">
        <f t="shared" si="0"/>
        <v>-943.25</v>
      </c>
      <c r="N4" s="46">
        <f t="shared" si="1"/>
        <v>2254</v>
      </c>
      <c r="O4" s="20">
        <v>4285.05</v>
      </c>
      <c r="P4" s="12">
        <v>650</v>
      </c>
      <c r="Q4" s="21">
        <f t="shared" si="2"/>
        <v>-1859.521</v>
      </c>
    </row>
    <row r="5" spans="2:17">
      <c r="B5" s="4" t="s">
        <v>3</v>
      </c>
      <c r="C5">
        <v>20</v>
      </c>
      <c r="D5">
        <v>8.8333333333333339</v>
      </c>
      <c r="E5">
        <v>10</v>
      </c>
      <c r="F5">
        <v>400</v>
      </c>
      <c r="G5">
        <v>5.0999999999999996</v>
      </c>
      <c r="H5">
        <v>176.66666666666669</v>
      </c>
      <c r="I5">
        <v>901</v>
      </c>
      <c r="J5" s="10">
        <v>1301</v>
      </c>
      <c r="K5" s="23">
        <v>160</v>
      </c>
      <c r="L5" s="46"/>
      <c r="M5" s="46">
        <f t="shared" si="0"/>
        <v>0</v>
      </c>
      <c r="N5" s="46">
        <f t="shared" si="1"/>
        <v>0</v>
      </c>
      <c r="O5" s="20">
        <v>4240</v>
      </c>
      <c r="P5" s="12">
        <v>650</v>
      </c>
      <c r="Q5" s="21">
        <f>-1.2*J5-650+N15-0.5*O5</f>
        <v>-1450.4959999999996</v>
      </c>
    </row>
    <row r="6" spans="2:17">
      <c r="B6" s="4" t="s">
        <v>4</v>
      </c>
      <c r="C6">
        <v>20</v>
      </c>
      <c r="D6">
        <v>8.831666666666667</v>
      </c>
      <c r="E6">
        <v>10</v>
      </c>
      <c r="F6">
        <v>200</v>
      </c>
      <c r="G6">
        <v>5.0999999999999996</v>
      </c>
      <c r="H6">
        <v>176.63333333333333</v>
      </c>
      <c r="I6">
        <v>900.82999999999993</v>
      </c>
      <c r="J6" s="10">
        <v>1100.83</v>
      </c>
      <c r="K6" s="23">
        <v>161.70000000000002</v>
      </c>
      <c r="L6" s="46">
        <v>-3768.34</v>
      </c>
      <c r="M6" s="46">
        <f t="shared" si="0"/>
        <v>-1450.8109000000002</v>
      </c>
      <c r="N6" s="46">
        <f t="shared" si="1"/>
        <v>3466.8728000000001</v>
      </c>
      <c r="O6" s="20">
        <v>4285.05</v>
      </c>
      <c r="P6" s="12">
        <v>650</v>
      </c>
      <c r="Q6" s="21">
        <f t="shared" si="2"/>
        <v>-646.64819999999986</v>
      </c>
    </row>
    <row r="7" spans="2:17">
      <c r="B7" s="4" t="s">
        <v>5</v>
      </c>
      <c r="C7">
        <v>20</v>
      </c>
      <c r="D7">
        <v>8.58</v>
      </c>
      <c r="E7">
        <v>10</v>
      </c>
      <c r="F7">
        <v>200</v>
      </c>
      <c r="G7">
        <v>5.0999999999999996</v>
      </c>
      <c r="H7">
        <v>171.6</v>
      </c>
      <c r="I7">
        <v>875.15999999999985</v>
      </c>
      <c r="J7" s="10">
        <v>1075.1599999999999</v>
      </c>
      <c r="K7" s="23">
        <v>170</v>
      </c>
      <c r="L7" s="46">
        <v>-3882.53</v>
      </c>
      <c r="M7" s="46">
        <f t="shared" si="0"/>
        <v>-1494.7740500000002</v>
      </c>
      <c r="N7" s="46">
        <f t="shared" si="1"/>
        <v>3571.9276000000004</v>
      </c>
      <c r="O7" s="20">
        <v>4505</v>
      </c>
      <c r="P7" s="12">
        <v>650</v>
      </c>
      <c r="Q7" s="21">
        <f t="shared" si="2"/>
        <v>-620.76439999999934</v>
      </c>
    </row>
    <row r="8" spans="2:17">
      <c r="B8" s="5" t="s">
        <v>6</v>
      </c>
      <c r="C8" s="1">
        <v>20</v>
      </c>
      <c r="D8" s="1">
        <v>4.29</v>
      </c>
      <c r="E8" s="1">
        <v>10</v>
      </c>
      <c r="F8" s="1">
        <v>200</v>
      </c>
      <c r="G8" s="1">
        <v>5.0999999999999996</v>
      </c>
      <c r="H8" s="1">
        <v>85.8</v>
      </c>
      <c r="I8" s="1">
        <v>437.57999999999993</v>
      </c>
      <c r="J8" s="11">
        <v>637.57999999999993</v>
      </c>
      <c r="K8" s="24">
        <v>88.316666666666663</v>
      </c>
      <c r="L8" s="47">
        <v>-1939.1</v>
      </c>
      <c r="M8" s="46">
        <f t="shared" si="0"/>
        <v>-746.55349999999999</v>
      </c>
      <c r="N8" s="46">
        <f t="shared" si="1"/>
        <v>1783.972</v>
      </c>
      <c r="O8" s="20">
        <v>2340.3916666666664</v>
      </c>
      <c r="P8" s="13">
        <v>650</v>
      </c>
      <c r="Q8" s="21">
        <f t="shared" si="2"/>
        <v>-801.31983333333324</v>
      </c>
    </row>
    <row r="9" spans="2:17" ht="15" thickBot="1">
      <c r="L9" s="46"/>
      <c r="M9" s="46">
        <f t="shared" si="0"/>
        <v>0</v>
      </c>
      <c r="N9" s="46"/>
    </row>
    <row r="10" spans="2:17" ht="15">
      <c r="B10" s="14" t="s">
        <v>21</v>
      </c>
      <c r="C10" s="15">
        <v>2.7</v>
      </c>
      <c r="E10" s="22" t="s">
        <v>40</v>
      </c>
      <c r="H10" s="22"/>
      <c r="L10" s="46"/>
      <c r="M10" s="46">
        <f t="shared" si="0"/>
        <v>0</v>
      </c>
      <c r="N10" s="46"/>
    </row>
    <row r="11" spans="2:17" ht="15">
      <c r="B11" s="16" t="s">
        <v>22</v>
      </c>
      <c r="C11" s="17">
        <v>2.4</v>
      </c>
      <c r="E11" s="22"/>
      <c r="H11" s="22"/>
      <c r="K11" s="48" t="s">
        <v>126</v>
      </c>
      <c r="L11" s="46">
        <v>-1247</v>
      </c>
      <c r="M11" s="46">
        <f t="shared" si="0"/>
        <v>-480.09500000000003</v>
      </c>
      <c r="N11" s="46">
        <f t="shared" ref="N11:N12" si="3">0.92*L11</f>
        <v>-1147.24</v>
      </c>
    </row>
    <row r="12" spans="2:17" ht="15">
      <c r="B12" s="16" t="s">
        <v>23</v>
      </c>
      <c r="C12" s="17" t="s">
        <v>24</v>
      </c>
      <c r="E12" s="22"/>
      <c r="H12" s="22"/>
      <c r="K12" s="48" t="s">
        <v>127</v>
      </c>
      <c r="L12" s="46">
        <v>-1884.2</v>
      </c>
      <c r="M12" s="46">
        <f>-L12*0.385</f>
        <v>725.41700000000003</v>
      </c>
      <c r="N12" s="46">
        <f t="shared" si="3"/>
        <v>-1733.4640000000002</v>
      </c>
    </row>
    <row r="13" spans="2:17" ht="15">
      <c r="B13" s="16" t="s">
        <v>25</v>
      </c>
      <c r="C13" s="17" t="s">
        <v>26</v>
      </c>
      <c r="E13" s="22"/>
      <c r="H13" s="22"/>
    </row>
    <row r="14" spans="2:17" ht="15">
      <c r="B14" s="16" t="s">
        <v>27</v>
      </c>
      <c r="C14" s="17">
        <v>26.5</v>
      </c>
      <c r="E14" s="22"/>
      <c r="H14" s="22"/>
    </row>
    <row r="15" spans="2:17" ht="15">
      <c r="B15" s="16" t="s">
        <v>13</v>
      </c>
      <c r="C15" s="17">
        <v>1.4</v>
      </c>
      <c r="H15" s="22"/>
      <c r="M15">
        <f>SUM(M11,M12)</f>
        <v>245.322</v>
      </c>
      <c r="N15">
        <f>SUM(N11,N12)*-1</f>
        <v>2880.7040000000002</v>
      </c>
    </row>
    <row r="16" spans="2:17" ht="15.75" thickBot="1">
      <c r="B16" s="18" t="s">
        <v>14</v>
      </c>
      <c r="C16" s="19" t="s">
        <v>15</v>
      </c>
      <c r="E16" s="22"/>
      <c r="H16" s="22"/>
    </row>
    <row r="17" spans="5:15" ht="15">
      <c r="E17" s="22"/>
      <c r="H17" s="22"/>
    </row>
    <row r="18" spans="5:15" ht="15">
      <c r="E18" s="22"/>
      <c r="H18" s="22"/>
    </row>
    <row r="19" spans="5:15" ht="15">
      <c r="E19" s="22"/>
      <c r="H19" s="22"/>
    </row>
    <row r="20" spans="5:15" ht="15">
      <c r="E20" s="22"/>
      <c r="H20" s="22"/>
    </row>
    <row r="21" spans="5:15" ht="15">
      <c r="E21" s="22"/>
      <c r="H21" s="22"/>
    </row>
    <row r="22" spans="5:15" ht="15">
      <c r="E22" s="22"/>
      <c r="H22" s="22"/>
    </row>
    <row r="23" spans="5:15" ht="15">
      <c r="E23" s="22"/>
      <c r="H23" s="22"/>
    </row>
    <row r="24" spans="5:15" ht="15">
      <c r="E24" s="22"/>
      <c r="H24" s="22"/>
    </row>
    <row r="25" spans="5:15" ht="15">
      <c r="E25" s="22"/>
      <c r="H25" s="22"/>
    </row>
    <row r="26" spans="5:15" ht="15">
      <c r="E26" s="22"/>
      <c r="H26" s="22"/>
      <c r="O26">
        <v>165</v>
      </c>
    </row>
    <row r="27" spans="5:15" ht="15">
      <c r="H27" s="22"/>
    </row>
    <row r="28" spans="5:15" ht="15">
      <c r="H28" s="22"/>
    </row>
    <row r="29" spans="5:15" ht="15">
      <c r="H29" s="22"/>
    </row>
  </sheetData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C7BD7-904C-4212-ABEC-980268F18DA6}">
  <dimension ref="B2:P57"/>
  <sheetViews>
    <sheetView topLeftCell="C9" workbookViewId="0">
      <selection activeCell="F34" sqref="F34"/>
    </sheetView>
  </sheetViews>
  <sheetFormatPr defaultRowHeight="14.25"/>
  <cols>
    <col min="2" max="2" width="17.75" bestFit="1" customWidth="1"/>
    <col min="3" max="3" width="14.875" bestFit="1" customWidth="1"/>
    <col min="4" max="4" width="22.75" bestFit="1" customWidth="1"/>
    <col min="5" max="5" width="16.375" bestFit="1" customWidth="1"/>
    <col min="6" max="6" width="16.375" customWidth="1"/>
    <col min="7" max="7" width="25.375" bestFit="1" customWidth="1"/>
    <col min="8" max="8" width="14.125" bestFit="1" customWidth="1"/>
    <col min="9" max="9" width="25.375" bestFit="1" customWidth="1"/>
    <col min="10" max="10" width="14.125" bestFit="1" customWidth="1"/>
    <col min="11" max="11" width="21.875" bestFit="1" customWidth="1"/>
    <col min="12" max="12" width="11.75" bestFit="1" customWidth="1"/>
  </cols>
  <sheetData>
    <row r="2" spans="2:16" ht="15" thickBot="1"/>
    <row r="3" spans="2:16">
      <c r="B3" s="2" t="s">
        <v>29</v>
      </c>
      <c r="C3" s="31" t="s">
        <v>37</v>
      </c>
      <c r="D3" s="31" t="s">
        <v>36</v>
      </c>
      <c r="E3" s="31" t="s">
        <v>38</v>
      </c>
      <c r="F3" s="31" t="s">
        <v>10</v>
      </c>
      <c r="G3" s="31" t="s">
        <v>9</v>
      </c>
      <c r="H3" s="31" t="s">
        <v>39</v>
      </c>
      <c r="I3" s="31" t="s">
        <v>11</v>
      </c>
      <c r="J3" s="32" t="s">
        <v>18</v>
      </c>
      <c r="K3" s="31" t="s">
        <v>28</v>
      </c>
      <c r="L3" s="31" t="s">
        <v>12</v>
      </c>
      <c r="M3" s="33" t="s">
        <v>19</v>
      </c>
      <c r="N3" s="31" t="s">
        <v>17</v>
      </c>
      <c r="O3" s="3" t="s">
        <v>20</v>
      </c>
    </row>
    <row r="4" spans="2:16">
      <c r="B4" s="34">
        <v>0</v>
      </c>
      <c r="C4">
        <v>20</v>
      </c>
      <c r="D4">
        <f>E24/2</f>
        <v>3.25</v>
      </c>
      <c r="E4">
        <f>C4*D4</f>
        <v>65</v>
      </c>
      <c r="F4">
        <v>10</v>
      </c>
      <c r="G4">
        <f>C4*F4</f>
        <v>200</v>
      </c>
      <c r="H4">
        <v>5.0999999999999996</v>
      </c>
      <c r="I4">
        <f>E4*H4</f>
        <v>331.5</v>
      </c>
      <c r="J4" s="44">
        <f>G4+I4</f>
        <v>531.5</v>
      </c>
      <c r="K4" s="23">
        <f>E28/2*20</f>
        <v>60</v>
      </c>
      <c r="L4" s="20">
        <f t="shared" ref="L4:L12" si="0">C$18*K4</f>
        <v>1590</v>
      </c>
      <c r="M4" s="41">
        <v>505.6</v>
      </c>
      <c r="N4" s="21">
        <f>J4*1.4</f>
        <v>744.09999999999991</v>
      </c>
      <c r="O4" s="37">
        <f>1.2*J4+1.6*M4+0.4*L4</f>
        <v>2082.7600000000002</v>
      </c>
      <c r="P4" s="34">
        <v>0</v>
      </c>
    </row>
    <row r="5" spans="2:16">
      <c r="B5" s="34">
        <v>13</v>
      </c>
      <c r="C5">
        <v>20</v>
      </c>
      <c r="D5">
        <f>E24/2+E25/2</f>
        <v>6.5</v>
      </c>
      <c r="E5">
        <f t="shared" ref="E5:E12" si="1">C5*D5</f>
        <v>130</v>
      </c>
      <c r="F5">
        <v>10</v>
      </c>
      <c r="G5">
        <f t="shared" ref="G5:G12" si="2">C5*F5</f>
        <v>200</v>
      </c>
      <c r="H5">
        <v>5.0999999999999996</v>
      </c>
      <c r="I5">
        <f t="shared" ref="I5:I12" si="3">E5*H5</f>
        <v>663</v>
      </c>
      <c r="J5" s="44">
        <f t="shared" ref="J5:J12" si="4">G5+I5</f>
        <v>863</v>
      </c>
      <c r="K5" s="23">
        <f t="shared" ref="K5:K11" si="5">(E28/2+E29/2)*20</f>
        <v>120</v>
      </c>
      <c r="L5" s="20">
        <f t="shared" si="0"/>
        <v>3180</v>
      </c>
      <c r="M5" s="41">
        <v>505.6</v>
      </c>
      <c r="N5" s="21">
        <f t="shared" ref="N5:N12" si="6">J5*1.4</f>
        <v>1208.1999999999998</v>
      </c>
      <c r="O5" s="37">
        <f t="shared" ref="O5:O12" si="7">1.2*J5+1.6*M5+0.4*L5</f>
        <v>3116.56</v>
      </c>
      <c r="P5" s="34">
        <v>13</v>
      </c>
    </row>
    <row r="6" spans="2:16">
      <c r="B6" s="34">
        <v>6</v>
      </c>
      <c r="C6">
        <v>20</v>
      </c>
      <c r="D6">
        <f>E25/2+E26/2</f>
        <v>6.5</v>
      </c>
      <c r="E6">
        <f t="shared" si="1"/>
        <v>130</v>
      </c>
      <c r="F6">
        <v>10</v>
      </c>
      <c r="G6">
        <f t="shared" si="2"/>
        <v>200</v>
      </c>
      <c r="H6">
        <v>5.0999999999999996</v>
      </c>
      <c r="I6">
        <f t="shared" si="3"/>
        <v>663</v>
      </c>
      <c r="J6" s="44">
        <f t="shared" si="4"/>
        <v>863</v>
      </c>
      <c r="K6" s="23">
        <f t="shared" si="5"/>
        <v>120</v>
      </c>
      <c r="L6" s="20">
        <f t="shared" si="0"/>
        <v>3180</v>
      </c>
      <c r="M6" s="41">
        <v>505.6</v>
      </c>
      <c r="N6" s="21">
        <f t="shared" si="6"/>
        <v>1208.1999999999998</v>
      </c>
      <c r="O6" s="37">
        <f t="shared" si="7"/>
        <v>3116.56</v>
      </c>
      <c r="P6" s="34">
        <v>6</v>
      </c>
    </row>
    <row r="7" spans="2:16">
      <c r="B7" s="34">
        <v>8</v>
      </c>
      <c r="C7">
        <v>20</v>
      </c>
      <c r="D7">
        <f>E26/2+E27/2</f>
        <v>6.5</v>
      </c>
      <c r="E7">
        <f t="shared" si="1"/>
        <v>130</v>
      </c>
      <c r="F7">
        <v>10</v>
      </c>
      <c r="G7">
        <f t="shared" si="2"/>
        <v>200</v>
      </c>
      <c r="H7">
        <v>5.0999999999999996</v>
      </c>
      <c r="I7">
        <f t="shared" si="3"/>
        <v>663</v>
      </c>
      <c r="J7" s="44">
        <f t="shared" si="4"/>
        <v>863</v>
      </c>
      <c r="K7" s="23">
        <f t="shared" si="5"/>
        <v>120</v>
      </c>
      <c r="L7" s="20">
        <f t="shared" si="0"/>
        <v>3180</v>
      </c>
      <c r="M7" s="41">
        <v>505.6</v>
      </c>
      <c r="N7" s="21">
        <f t="shared" si="6"/>
        <v>1208.1999999999998</v>
      </c>
      <c r="O7" s="37">
        <f t="shared" si="7"/>
        <v>3116.56</v>
      </c>
      <c r="P7" s="34">
        <v>8</v>
      </c>
    </row>
    <row r="8" spans="2:16">
      <c r="B8" s="34">
        <v>1</v>
      </c>
      <c r="C8">
        <v>20</v>
      </c>
      <c r="D8">
        <f>E27/2+E36/2</f>
        <v>6.5</v>
      </c>
      <c r="E8">
        <f t="shared" si="1"/>
        <v>130</v>
      </c>
      <c r="F8">
        <v>10</v>
      </c>
      <c r="G8">
        <f>C8*F8*2</f>
        <v>400</v>
      </c>
      <c r="H8">
        <v>5.0999999999999996</v>
      </c>
      <c r="I8">
        <f t="shared" si="3"/>
        <v>663</v>
      </c>
      <c r="J8" s="44">
        <f t="shared" si="4"/>
        <v>1063</v>
      </c>
      <c r="K8" s="23">
        <f t="shared" si="5"/>
        <v>120</v>
      </c>
      <c r="L8" s="20">
        <f t="shared" si="0"/>
        <v>3180</v>
      </c>
      <c r="M8" s="41">
        <v>505.6</v>
      </c>
      <c r="N8" s="21">
        <f t="shared" si="6"/>
        <v>1488.1999999999998</v>
      </c>
      <c r="O8" s="37">
        <f t="shared" si="7"/>
        <v>3356.56</v>
      </c>
      <c r="P8" s="34">
        <v>1</v>
      </c>
    </row>
    <row r="9" spans="2:16">
      <c r="B9" s="34">
        <v>5</v>
      </c>
      <c r="C9">
        <v>20</v>
      </c>
      <c r="D9">
        <f>D7</f>
        <v>6.5</v>
      </c>
      <c r="E9">
        <f t="shared" si="1"/>
        <v>130</v>
      </c>
      <c r="F9">
        <v>10</v>
      </c>
      <c r="G9">
        <f t="shared" si="2"/>
        <v>200</v>
      </c>
      <c r="H9">
        <v>5.0999999999999996</v>
      </c>
      <c r="I9">
        <f t="shared" si="3"/>
        <v>663</v>
      </c>
      <c r="J9" s="44">
        <f t="shared" si="4"/>
        <v>863</v>
      </c>
      <c r="K9" s="23">
        <f t="shared" si="5"/>
        <v>120</v>
      </c>
      <c r="L9" s="20">
        <f t="shared" si="0"/>
        <v>3180</v>
      </c>
      <c r="M9" s="41">
        <v>505.6</v>
      </c>
      <c r="N9" s="21">
        <f t="shared" si="6"/>
        <v>1208.1999999999998</v>
      </c>
      <c r="O9" s="37">
        <f t="shared" si="7"/>
        <v>3116.56</v>
      </c>
      <c r="P9" s="34">
        <v>5</v>
      </c>
    </row>
    <row r="10" spans="2:16">
      <c r="B10" s="34">
        <v>11</v>
      </c>
      <c r="C10">
        <v>20</v>
      </c>
      <c r="D10">
        <f>D6</f>
        <v>6.5</v>
      </c>
      <c r="E10">
        <f t="shared" si="1"/>
        <v>130</v>
      </c>
      <c r="F10">
        <v>10</v>
      </c>
      <c r="G10">
        <f t="shared" si="2"/>
        <v>200</v>
      </c>
      <c r="H10">
        <v>5.0999999999999996</v>
      </c>
      <c r="I10">
        <f t="shared" si="3"/>
        <v>663</v>
      </c>
      <c r="J10" s="44">
        <f t="shared" si="4"/>
        <v>863</v>
      </c>
      <c r="K10" s="23">
        <f t="shared" si="5"/>
        <v>120</v>
      </c>
      <c r="L10" s="20">
        <f t="shared" si="0"/>
        <v>3180</v>
      </c>
      <c r="M10" s="41">
        <v>505.6</v>
      </c>
      <c r="N10" s="21">
        <f t="shared" si="6"/>
        <v>1208.1999999999998</v>
      </c>
      <c r="O10" s="37">
        <f t="shared" si="7"/>
        <v>3116.56</v>
      </c>
      <c r="P10" s="34">
        <v>11</v>
      </c>
    </row>
    <row r="11" spans="2:16">
      <c r="B11" s="34">
        <v>15</v>
      </c>
      <c r="C11">
        <v>20</v>
      </c>
      <c r="D11">
        <f>D5</f>
        <v>6.5</v>
      </c>
      <c r="E11">
        <f t="shared" si="1"/>
        <v>130</v>
      </c>
      <c r="F11">
        <v>10</v>
      </c>
      <c r="G11">
        <f t="shared" si="2"/>
        <v>200</v>
      </c>
      <c r="H11">
        <v>5.0999999999999996</v>
      </c>
      <c r="I11">
        <f t="shared" si="3"/>
        <v>663</v>
      </c>
      <c r="J11" s="44">
        <f t="shared" si="4"/>
        <v>863</v>
      </c>
      <c r="K11" s="23">
        <f t="shared" si="5"/>
        <v>120</v>
      </c>
      <c r="L11" s="20">
        <f t="shared" si="0"/>
        <v>3180</v>
      </c>
      <c r="M11" s="41">
        <v>505.6</v>
      </c>
      <c r="N11" s="21">
        <f t="shared" si="6"/>
        <v>1208.1999999999998</v>
      </c>
      <c r="O11" s="37">
        <f t="shared" si="7"/>
        <v>3116.56</v>
      </c>
      <c r="P11" s="34">
        <v>15</v>
      </c>
    </row>
    <row r="12" spans="2:16" ht="15" thickBot="1">
      <c r="B12" s="35">
        <v>2</v>
      </c>
      <c r="C12" s="36">
        <v>20</v>
      </c>
      <c r="D12" s="36">
        <f>D4</f>
        <v>3.25</v>
      </c>
      <c r="E12" s="36">
        <f t="shared" si="1"/>
        <v>65</v>
      </c>
      <c r="F12" s="36">
        <v>10</v>
      </c>
      <c r="G12" s="36">
        <f t="shared" si="2"/>
        <v>200</v>
      </c>
      <c r="H12" s="36">
        <v>5.0999999999999996</v>
      </c>
      <c r="I12" s="36">
        <f t="shared" si="3"/>
        <v>331.5</v>
      </c>
      <c r="J12" s="45">
        <f t="shared" si="4"/>
        <v>531.5</v>
      </c>
      <c r="K12" s="43">
        <f>(E28/2)*20</f>
        <v>60</v>
      </c>
      <c r="L12" s="42">
        <f t="shared" si="0"/>
        <v>1590</v>
      </c>
      <c r="M12" s="41">
        <v>505.6</v>
      </c>
      <c r="N12" s="40">
        <f t="shared" si="6"/>
        <v>744.09999999999991</v>
      </c>
      <c r="O12" s="38">
        <f t="shared" si="7"/>
        <v>2082.7600000000002</v>
      </c>
      <c r="P12" s="35">
        <v>2</v>
      </c>
    </row>
    <row r="13" spans="2:16" ht="15" thickBot="1"/>
    <row r="14" spans="2:16">
      <c r="B14" s="14" t="s">
        <v>21</v>
      </c>
      <c r="C14" s="15">
        <v>2.7</v>
      </c>
    </row>
    <row r="15" spans="2:16">
      <c r="B15" s="16" t="s">
        <v>22</v>
      </c>
      <c r="C15" s="17">
        <v>2.4</v>
      </c>
    </row>
    <row r="16" spans="2:16">
      <c r="B16" s="16" t="s">
        <v>23</v>
      </c>
      <c r="C16" s="17" t="s">
        <v>24</v>
      </c>
    </row>
    <row r="17" spans="2:6">
      <c r="B17" s="16" t="s">
        <v>25</v>
      </c>
      <c r="C17" s="17" t="s">
        <v>26</v>
      </c>
    </row>
    <row r="18" spans="2:6">
      <c r="B18" s="16" t="s">
        <v>27</v>
      </c>
      <c r="C18" s="17">
        <v>26.5</v>
      </c>
    </row>
    <row r="19" spans="2:6">
      <c r="B19" s="16" t="s">
        <v>13</v>
      </c>
      <c r="C19" s="17">
        <v>1.4</v>
      </c>
    </row>
    <row r="20" spans="2:6" ht="15" thickBot="1">
      <c r="B20" s="18" t="s">
        <v>14</v>
      </c>
      <c r="C20" s="19" t="s">
        <v>15</v>
      </c>
    </row>
    <row r="21" spans="2:6">
      <c r="D21" t="s">
        <v>30</v>
      </c>
    </row>
    <row r="22" spans="2:6" ht="15.75" thickBot="1">
      <c r="B22" s="49" t="s">
        <v>31</v>
      </c>
      <c r="C22" s="49"/>
      <c r="D22" s="49"/>
      <c r="E22" s="49"/>
    </row>
    <row r="23" spans="2:6" ht="15.75" thickBot="1">
      <c r="B23" s="25" t="s">
        <v>32</v>
      </c>
      <c r="C23" s="25" t="s">
        <v>33</v>
      </c>
      <c r="D23" s="25" t="s">
        <v>34</v>
      </c>
      <c r="E23" s="26" t="s">
        <v>35</v>
      </c>
    </row>
    <row r="24" spans="2:6" ht="15.75" thickBot="1">
      <c r="B24" s="25">
        <v>0</v>
      </c>
      <c r="C24" s="27">
        <v>0</v>
      </c>
      <c r="D24" s="27">
        <v>13</v>
      </c>
      <c r="E24" s="28">
        <v>6.5</v>
      </c>
    </row>
    <row r="25" spans="2:6" ht="15.75" thickBot="1">
      <c r="B25" s="25">
        <v>1</v>
      </c>
      <c r="C25" s="27">
        <v>13</v>
      </c>
      <c r="D25" s="27">
        <v>6</v>
      </c>
      <c r="E25" s="28">
        <v>6.5</v>
      </c>
    </row>
    <row r="26" spans="2:6" ht="15.75" thickBot="1">
      <c r="B26" s="25">
        <v>2</v>
      </c>
      <c r="C26" s="27">
        <v>6</v>
      </c>
      <c r="D26" s="27">
        <v>8</v>
      </c>
      <c r="E26" s="28">
        <v>6.5</v>
      </c>
    </row>
    <row r="27" spans="2:6" ht="15.75" thickBot="1">
      <c r="B27" s="25">
        <v>3</v>
      </c>
      <c r="C27" s="27">
        <v>8</v>
      </c>
      <c r="D27" s="27">
        <v>1</v>
      </c>
      <c r="E27" s="28">
        <v>6.5</v>
      </c>
      <c r="F27" s="39"/>
    </row>
    <row r="28" spans="2:6" ht="15.75" thickBot="1">
      <c r="B28" s="25">
        <v>4</v>
      </c>
      <c r="C28" s="27">
        <v>0</v>
      </c>
      <c r="D28" s="27">
        <v>12</v>
      </c>
      <c r="E28" s="28">
        <v>6</v>
      </c>
      <c r="F28" s="29"/>
    </row>
    <row r="29" spans="2:6" ht="15.75" thickBot="1">
      <c r="B29" s="25">
        <v>5</v>
      </c>
      <c r="C29" s="27">
        <v>12</v>
      </c>
      <c r="D29" s="27">
        <v>9</v>
      </c>
      <c r="E29" s="28">
        <v>6</v>
      </c>
      <c r="F29" s="30"/>
    </row>
    <row r="30" spans="2:6" ht="15.75" thickBot="1">
      <c r="B30" s="25">
        <v>6</v>
      </c>
      <c r="C30" s="27">
        <v>9</v>
      </c>
      <c r="D30" s="27">
        <v>7</v>
      </c>
      <c r="E30" s="28">
        <v>6</v>
      </c>
      <c r="F30" s="30"/>
    </row>
    <row r="31" spans="2:6" ht="15.75" thickBot="1">
      <c r="B31" s="25">
        <v>7</v>
      </c>
      <c r="C31" s="27">
        <v>7</v>
      </c>
      <c r="D31" s="27">
        <v>3</v>
      </c>
      <c r="E31" s="28">
        <v>6</v>
      </c>
      <c r="F31" s="30"/>
    </row>
    <row r="32" spans="2:6" ht="15.75" thickBot="1">
      <c r="B32" s="25">
        <v>8</v>
      </c>
      <c r="C32" s="27">
        <v>3</v>
      </c>
      <c r="D32" s="27">
        <v>4</v>
      </c>
      <c r="E32" s="28">
        <v>6</v>
      </c>
      <c r="F32" s="30"/>
    </row>
    <row r="33" spans="2:6" ht="15.75" thickBot="1">
      <c r="B33" s="25">
        <v>9</v>
      </c>
      <c r="C33" s="27">
        <v>4</v>
      </c>
      <c r="D33" s="27">
        <v>10</v>
      </c>
      <c r="E33" s="28">
        <v>6</v>
      </c>
      <c r="F33" s="30"/>
    </row>
    <row r="34" spans="2:6" ht="15.75" thickBot="1">
      <c r="B34" s="25">
        <v>10</v>
      </c>
      <c r="C34" s="27">
        <v>10</v>
      </c>
      <c r="D34" s="27">
        <v>14</v>
      </c>
      <c r="E34" s="28">
        <v>6</v>
      </c>
      <c r="F34" s="30"/>
    </row>
    <row r="35" spans="2:6" ht="15.75" thickBot="1">
      <c r="B35" s="25">
        <v>11</v>
      </c>
      <c r="C35" s="27">
        <v>14</v>
      </c>
      <c r="D35" s="27">
        <v>2</v>
      </c>
      <c r="E35" s="28">
        <v>6</v>
      </c>
      <c r="F35" s="30"/>
    </row>
    <row r="36" spans="2:6" ht="15.75" thickBot="1">
      <c r="B36" s="25">
        <v>12</v>
      </c>
      <c r="C36" s="27">
        <v>1</v>
      </c>
      <c r="D36" s="27">
        <v>5</v>
      </c>
      <c r="E36" s="28">
        <v>6.5</v>
      </c>
      <c r="F36" s="30"/>
    </row>
    <row r="37" spans="2:6" ht="15.75" thickBot="1">
      <c r="B37" s="25">
        <v>13</v>
      </c>
      <c r="C37" s="27">
        <v>5</v>
      </c>
      <c r="D37" s="27">
        <v>11</v>
      </c>
      <c r="E37" s="28">
        <v>6.5</v>
      </c>
      <c r="F37" s="30"/>
    </row>
    <row r="38" spans="2:6" ht="15.75" thickBot="1">
      <c r="B38" s="25">
        <v>14</v>
      </c>
      <c r="C38" s="27">
        <v>11</v>
      </c>
      <c r="D38" s="27">
        <v>15</v>
      </c>
      <c r="E38" s="28">
        <v>6.5</v>
      </c>
      <c r="F38" s="30"/>
    </row>
    <row r="39" spans="2:6" ht="15.75" thickBot="1">
      <c r="B39" s="25">
        <v>15</v>
      </c>
      <c r="C39" s="27">
        <v>15</v>
      </c>
      <c r="D39" s="27">
        <v>2</v>
      </c>
      <c r="E39" s="28">
        <v>6.5</v>
      </c>
      <c r="F39" s="30"/>
    </row>
    <row r="40" spans="2:6" ht="15.75" thickBot="1">
      <c r="B40" s="25">
        <v>16</v>
      </c>
      <c r="C40" s="27">
        <v>3</v>
      </c>
      <c r="D40" s="27">
        <v>1</v>
      </c>
      <c r="E40" s="28">
        <v>10</v>
      </c>
      <c r="F40" s="30"/>
    </row>
    <row r="41" spans="2:6" ht="15.75" thickBot="1">
      <c r="B41" s="25">
        <v>17</v>
      </c>
      <c r="C41" s="27">
        <v>4</v>
      </c>
      <c r="D41" s="27">
        <v>5</v>
      </c>
      <c r="E41" s="28">
        <v>10</v>
      </c>
      <c r="F41" s="30"/>
    </row>
    <row r="42" spans="2:6" ht="15.75" thickBot="1">
      <c r="B42" s="25">
        <v>18</v>
      </c>
      <c r="C42" s="27">
        <v>6</v>
      </c>
      <c r="D42" s="27">
        <v>7</v>
      </c>
      <c r="E42" s="28">
        <v>5</v>
      </c>
      <c r="F42" s="30"/>
    </row>
    <row r="43" spans="2:6" ht="15.75" thickBot="1">
      <c r="B43" s="25">
        <v>19</v>
      </c>
      <c r="C43" s="27">
        <v>8</v>
      </c>
      <c r="D43" s="27">
        <v>3</v>
      </c>
      <c r="E43" s="28">
        <v>9.6</v>
      </c>
      <c r="F43" s="30"/>
    </row>
    <row r="44" spans="2:6" ht="15.75" thickBot="1">
      <c r="B44" s="25">
        <v>20</v>
      </c>
      <c r="C44" s="27">
        <v>7</v>
      </c>
      <c r="D44" s="27">
        <v>8</v>
      </c>
      <c r="E44" s="28">
        <v>7.5</v>
      </c>
      <c r="F44" s="30"/>
    </row>
    <row r="45" spans="2:6" ht="15.75" thickBot="1">
      <c r="B45" s="25">
        <v>21</v>
      </c>
      <c r="C45" s="27">
        <v>9</v>
      </c>
      <c r="D45" s="27">
        <v>6</v>
      </c>
      <c r="E45" s="28">
        <v>5</v>
      </c>
      <c r="F45" s="30"/>
    </row>
    <row r="46" spans="2:6" ht="15.75" thickBot="1">
      <c r="B46" s="25">
        <v>22</v>
      </c>
      <c r="C46" s="27">
        <v>10</v>
      </c>
      <c r="D46" s="27">
        <v>11</v>
      </c>
      <c r="E46" s="28">
        <v>5</v>
      </c>
      <c r="F46" s="30"/>
    </row>
    <row r="47" spans="2:6" ht="15.75" thickBot="1">
      <c r="B47" s="25">
        <v>23</v>
      </c>
      <c r="C47" s="27">
        <v>3</v>
      </c>
      <c r="D47" s="27">
        <v>5</v>
      </c>
      <c r="E47" s="28">
        <v>9.6</v>
      </c>
      <c r="F47" s="30"/>
    </row>
    <row r="48" spans="2:6" ht="15.75" thickBot="1">
      <c r="B48" s="25">
        <v>24</v>
      </c>
      <c r="C48" s="27">
        <v>4</v>
      </c>
      <c r="D48" s="27">
        <v>11</v>
      </c>
      <c r="E48" s="28">
        <v>7.81</v>
      </c>
      <c r="F48" s="30"/>
    </row>
    <row r="49" spans="2:6" ht="15.75" thickBot="1">
      <c r="B49" s="25">
        <v>25</v>
      </c>
      <c r="C49" s="27">
        <v>12</v>
      </c>
      <c r="D49" s="27">
        <v>13</v>
      </c>
      <c r="E49" s="28">
        <v>2.5</v>
      </c>
      <c r="F49" s="30"/>
    </row>
    <row r="50" spans="2:6" ht="15.75" thickBot="1">
      <c r="B50" s="25">
        <v>26</v>
      </c>
      <c r="C50" s="27">
        <v>14</v>
      </c>
      <c r="D50" s="27">
        <v>15</v>
      </c>
      <c r="E50" s="28">
        <v>2.5</v>
      </c>
      <c r="F50" s="30"/>
    </row>
    <row r="51" spans="2:6" ht="15.75" thickBot="1">
      <c r="B51" s="25">
        <v>27</v>
      </c>
      <c r="C51" s="27">
        <v>13</v>
      </c>
      <c r="D51" s="27">
        <v>9</v>
      </c>
      <c r="E51" s="28">
        <v>6.5</v>
      </c>
      <c r="F51" s="30"/>
    </row>
    <row r="52" spans="2:6" ht="15.75" thickBot="1">
      <c r="B52" s="25">
        <v>28</v>
      </c>
      <c r="C52" s="27">
        <v>10</v>
      </c>
      <c r="D52" s="27">
        <v>15</v>
      </c>
      <c r="E52" s="28">
        <v>6.5</v>
      </c>
      <c r="F52" s="30"/>
    </row>
    <row r="53" spans="2:6">
      <c r="F53" s="30"/>
    </row>
    <row r="54" spans="2:6">
      <c r="F54" s="30"/>
    </row>
    <row r="55" spans="2:6">
      <c r="F55" s="30"/>
    </row>
    <row r="56" spans="2:6">
      <c r="F56" s="30"/>
    </row>
    <row r="57" spans="2:6">
      <c r="F57" s="30"/>
    </row>
  </sheetData>
  <mergeCells count="1">
    <mergeCell ref="B22:E2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E2B4-8029-4CC5-9B71-0BE5C17CCAE0}">
  <dimension ref="B1:E30"/>
  <sheetViews>
    <sheetView workbookViewId="0">
      <selection activeCell="K25" sqref="K25"/>
    </sheetView>
  </sheetViews>
  <sheetFormatPr defaultRowHeight="14.25"/>
  <cols>
    <col min="2" max="2" width="22.25" bestFit="1" customWidth="1"/>
  </cols>
  <sheetData>
    <row r="1" spans="2:5">
      <c r="B1" t="s">
        <v>71</v>
      </c>
      <c r="C1" t="s">
        <v>93</v>
      </c>
      <c r="E1" t="s">
        <v>92</v>
      </c>
    </row>
    <row r="2" spans="2:5">
      <c r="B2" t="s">
        <v>42</v>
      </c>
      <c r="C2" t="s">
        <v>72</v>
      </c>
      <c r="E2" t="s">
        <v>94</v>
      </c>
    </row>
    <row r="3" spans="2:5">
      <c r="B3" t="s">
        <v>43</v>
      </c>
      <c r="C3" t="s">
        <v>73</v>
      </c>
      <c r="E3" t="s">
        <v>95</v>
      </c>
    </row>
    <row r="4" spans="2:5">
      <c r="B4" t="s">
        <v>44</v>
      </c>
      <c r="C4" t="s">
        <v>74</v>
      </c>
      <c r="E4" t="s">
        <v>96</v>
      </c>
    </row>
    <row r="5" spans="2:5">
      <c r="B5" t="s">
        <v>45</v>
      </c>
      <c r="C5" t="s">
        <v>75</v>
      </c>
      <c r="E5" t="s">
        <v>97</v>
      </c>
    </row>
    <row r="6" spans="2:5">
      <c r="B6" t="s">
        <v>46</v>
      </c>
      <c r="C6" t="s">
        <v>76</v>
      </c>
      <c r="E6" t="s">
        <v>98</v>
      </c>
    </row>
    <row r="7" spans="2:5">
      <c r="B7" t="s">
        <v>47</v>
      </c>
      <c r="C7" t="s">
        <v>77</v>
      </c>
      <c r="E7" t="s">
        <v>99</v>
      </c>
    </row>
    <row r="8" spans="2:5">
      <c r="B8" t="s">
        <v>48</v>
      </c>
      <c r="C8" t="s">
        <v>78</v>
      </c>
      <c r="E8" t="s">
        <v>100</v>
      </c>
    </row>
    <row r="9" spans="2:5">
      <c r="B9" t="s">
        <v>49</v>
      </c>
      <c r="C9" t="s">
        <v>79</v>
      </c>
      <c r="E9" t="s">
        <v>101</v>
      </c>
    </row>
    <row r="10" spans="2:5">
      <c r="B10" t="s">
        <v>50</v>
      </c>
      <c r="C10" t="s">
        <v>80</v>
      </c>
      <c r="E10" t="s">
        <v>102</v>
      </c>
    </row>
    <row r="11" spans="2:5">
      <c r="B11" t="s">
        <v>51</v>
      </c>
      <c r="C11" t="s">
        <v>81</v>
      </c>
      <c r="E11" t="s">
        <v>103</v>
      </c>
    </row>
    <row r="12" spans="2:5">
      <c r="B12" t="s">
        <v>52</v>
      </c>
      <c r="C12" t="s">
        <v>82</v>
      </c>
      <c r="E12" t="s">
        <v>104</v>
      </c>
    </row>
    <row r="13" spans="2:5">
      <c r="B13" t="s">
        <v>53</v>
      </c>
      <c r="C13" t="s">
        <v>83</v>
      </c>
      <c r="E13" t="s">
        <v>105</v>
      </c>
    </row>
    <row r="14" spans="2:5">
      <c r="B14" t="s">
        <v>54</v>
      </c>
      <c r="C14" t="s">
        <v>54</v>
      </c>
      <c r="E14" t="s">
        <v>106</v>
      </c>
    </row>
    <row r="15" spans="2:5">
      <c r="B15" t="s">
        <v>55</v>
      </c>
      <c r="C15" t="s">
        <v>84</v>
      </c>
      <c r="E15" t="s">
        <v>107</v>
      </c>
    </row>
    <row r="16" spans="2:5">
      <c r="B16" t="s">
        <v>56</v>
      </c>
      <c r="C16" t="s">
        <v>85</v>
      </c>
      <c r="E16" t="s">
        <v>108</v>
      </c>
    </row>
    <row r="17" spans="2:5">
      <c r="B17" t="s">
        <v>57</v>
      </c>
      <c r="C17" t="s">
        <v>86</v>
      </c>
      <c r="E17" t="s">
        <v>109</v>
      </c>
    </row>
    <row r="18" spans="2:5">
      <c r="B18" t="s">
        <v>58</v>
      </c>
      <c r="C18" t="s">
        <v>87</v>
      </c>
      <c r="E18" t="s">
        <v>110</v>
      </c>
    </row>
    <row r="19" spans="2:5">
      <c r="B19" t="s">
        <v>59</v>
      </c>
      <c r="C19" t="s">
        <v>88</v>
      </c>
      <c r="E19" t="s">
        <v>111</v>
      </c>
    </row>
    <row r="20" spans="2:5">
      <c r="B20" t="s">
        <v>60</v>
      </c>
      <c r="C20" t="s">
        <v>89</v>
      </c>
      <c r="E20" t="s">
        <v>112</v>
      </c>
    </row>
    <row r="21" spans="2:5">
      <c r="B21" t="s">
        <v>61</v>
      </c>
      <c r="C21" t="s">
        <v>90</v>
      </c>
      <c r="E21" t="s">
        <v>113</v>
      </c>
    </row>
    <row r="22" spans="2:5">
      <c r="B22" t="s">
        <v>62</v>
      </c>
      <c r="C22" t="s">
        <v>91</v>
      </c>
      <c r="E22" t="s">
        <v>114</v>
      </c>
    </row>
    <row r="23" spans="2:5">
      <c r="B23" t="s">
        <v>63</v>
      </c>
      <c r="E23" t="s">
        <v>115</v>
      </c>
    </row>
    <row r="24" spans="2:5">
      <c r="B24" t="s">
        <v>64</v>
      </c>
      <c r="E24" t="s">
        <v>116</v>
      </c>
    </row>
    <row r="25" spans="2:5">
      <c r="B25" t="s">
        <v>65</v>
      </c>
      <c r="E25" t="s">
        <v>117</v>
      </c>
    </row>
    <row r="26" spans="2:5">
      <c r="B26" t="s">
        <v>66</v>
      </c>
      <c r="E26" t="s">
        <v>118</v>
      </c>
    </row>
    <row r="27" spans="2:5">
      <c r="B27" t="s">
        <v>67</v>
      </c>
      <c r="E27" t="s">
        <v>119</v>
      </c>
    </row>
    <row r="28" spans="2:5">
      <c r="B28" t="s">
        <v>68</v>
      </c>
      <c r="E28" t="s">
        <v>120</v>
      </c>
    </row>
    <row r="29" spans="2:5">
      <c r="B29" t="s">
        <v>69</v>
      </c>
      <c r="E29" t="s">
        <v>121</v>
      </c>
    </row>
    <row r="30" spans="2:5">
      <c r="B30" t="s">
        <v>70</v>
      </c>
      <c r="E3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Modified Six Panel Truss</vt:lpstr>
      <vt:lpstr>Eight Panel Howe-Scissor Truss</vt:lpstr>
      <vt:lpstr>Method of Joints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 Brimhall</dc:creator>
  <cp:lastModifiedBy>Cam Brimhall</cp:lastModifiedBy>
  <dcterms:created xsi:type="dcterms:W3CDTF">2026-01-22T03:26:04Z</dcterms:created>
  <dcterms:modified xsi:type="dcterms:W3CDTF">2026-03-24T19:58:37Z</dcterms:modified>
</cp:coreProperties>
</file>